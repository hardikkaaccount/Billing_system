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di\OneDrive\Desktop\"/>
    </mc:Choice>
  </mc:AlternateContent>
  <xr:revisionPtr revIDLastSave="0" documentId="13_ncr:1_{B5EEB129-EE70-4FD7-BF6C-6CBDA46CB3A4}" xr6:coauthVersionLast="47" xr6:coauthVersionMax="47" xr10:uidLastSave="{00000000-0000-0000-0000-000000000000}"/>
  <bookViews>
    <workbookView xWindow="-108" yWindow="-108" windowWidth="23256" windowHeight="12456" xr2:uid="{CEDE7908-4B1C-4EA1-AE2C-EE4E47B35B02}"/>
  </bookViews>
  <sheets>
    <sheet name="Invoice" sheetId="1" r:id="rId1"/>
    <sheet name="Bill_Book" sheetId="2" r:id="rId2"/>
  </sheets>
  <definedNames>
    <definedName name="_xlnm.Print_Area" localSheetId="0">Invoice!$A$1:$G$30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1" l="1"/>
  <c r="A36" i="1"/>
  <c r="D36" i="1"/>
  <c r="E36" i="1"/>
  <c r="E24" i="1"/>
  <c r="G36" i="1" s="1"/>
  <c r="E17" i="1"/>
  <c r="F36" i="1" s="1"/>
  <c r="G24" i="1"/>
  <c r="G17" i="1"/>
  <c r="F8" i="1"/>
  <c r="G25" i="1" l="1"/>
  <c r="H36" i="1" s="1"/>
  <c r="C36" i="1"/>
  <c r="G26" i="1" l="1"/>
  <c r="I36" i="1" s="1"/>
  <c r="G27" i="1"/>
  <c r="J36" i="1" s="1"/>
  <c r="G28" i="1" l="1"/>
  <c r="K36" i="1" s="1"/>
</calcChain>
</file>

<file path=xl/sharedStrings.xml><?xml version="1.0" encoding="utf-8"?>
<sst xmlns="http://schemas.openxmlformats.org/spreadsheetml/2006/main" count="57" uniqueCount="36">
  <si>
    <t>GSTIN:</t>
  </si>
  <si>
    <t xml:space="preserve">Cell : </t>
  </si>
  <si>
    <t>Date :</t>
  </si>
  <si>
    <t>TAX INVOICE</t>
  </si>
  <si>
    <t>No.</t>
  </si>
  <si>
    <t>Sri :</t>
  </si>
  <si>
    <t>Mgs</t>
  </si>
  <si>
    <t>Amount</t>
  </si>
  <si>
    <t>Particulars</t>
  </si>
  <si>
    <t>SI no.</t>
  </si>
  <si>
    <t>CST 1.5%</t>
  </si>
  <si>
    <t>9844159998, 9844159998</t>
  </si>
  <si>
    <t>VIJAY METAL STORES &amp; JEWELLERS</t>
  </si>
  <si>
    <t>ವಿಜಯ್ ಮೆಟಲ್ ಸ್ಟೋರ್ಸ್ ಅಂಡ್ ಜುವೆಲ್ಲರ್ಸ್, ಮಂಡ್ಯ</t>
  </si>
  <si>
    <t>Total</t>
  </si>
  <si>
    <t xml:space="preserve">Total </t>
  </si>
  <si>
    <t xml:space="preserve">SGT 1.5% </t>
  </si>
  <si>
    <t xml:space="preserve">G. Total </t>
  </si>
  <si>
    <t>V. V. Road, Mandya - 571 401</t>
  </si>
  <si>
    <t>E.&amp;O.E.</t>
  </si>
  <si>
    <t>Thank you for choosing us. We hope to see you again soon</t>
  </si>
  <si>
    <t>29AEXPJ5454J1Z0</t>
  </si>
  <si>
    <t>Bill No</t>
  </si>
  <si>
    <t>Date</t>
  </si>
  <si>
    <t>Gold</t>
  </si>
  <si>
    <t>Silver</t>
  </si>
  <si>
    <t>CST</t>
  </si>
  <si>
    <t>SGT</t>
  </si>
  <si>
    <t>Gram :</t>
  </si>
  <si>
    <t>Gold Gram</t>
  </si>
  <si>
    <t>Silver Gram</t>
  </si>
  <si>
    <t>G.Total</t>
  </si>
  <si>
    <t>Name</t>
  </si>
  <si>
    <t>fbdf</t>
  </si>
  <si>
    <t>fbdf,vc</t>
  </si>
  <si>
    <t xml:space="preserve">   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</si>
</sst>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rgb="FFFF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u/>
      <sz val="12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6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5" xfId="0" applyFont="1" applyBorder="1" applyAlignment="1">
      <alignment horizontal="right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3" fillId="0" borderId="5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0" fillId="0" borderId="0" xfId="0" applyAlignment="1">
      <alignment vertical="top"/>
    </xf>
    <xf numFmtId="0" fontId="3" fillId="0" borderId="6" xfId="0" applyFont="1" applyBorder="1" applyAlignment="1">
      <alignment horizontal="left"/>
    </xf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14" fontId="0" fillId="0" borderId="0" xfId="0" applyNumberFormat="1"/>
    <xf numFmtId="0" fontId="3" fillId="0" borderId="19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3" fillId="0" borderId="20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26" xfId="0" applyFont="1" applyBorder="1" applyAlignment="1">
      <alignment horizontal="right"/>
    </xf>
    <xf numFmtId="0" fontId="3" fillId="0" borderId="10" xfId="0" applyFont="1" applyBorder="1"/>
    <xf numFmtId="0" fontId="3" fillId="0" borderId="12" xfId="0" applyFont="1" applyBorder="1"/>
    <xf numFmtId="0" fontId="3" fillId="0" borderId="27" xfId="0" applyFont="1" applyBorder="1" applyAlignment="1">
      <alignment horizontal="left"/>
    </xf>
    <xf numFmtId="0" fontId="3" fillId="0" borderId="28" xfId="0" applyFont="1" applyBorder="1"/>
    <xf numFmtId="0" fontId="3" fillId="0" borderId="24" xfId="0" applyFont="1" applyBorder="1" applyAlignment="1">
      <alignment horizontal="right"/>
    </xf>
    <xf numFmtId="0" fontId="3" fillId="0" borderId="25" xfId="0" applyFont="1" applyBorder="1" applyAlignment="1">
      <alignment horizontal="left"/>
    </xf>
    <xf numFmtId="0" fontId="7" fillId="0" borderId="0" xfId="0" applyFont="1"/>
    <xf numFmtId="0" fontId="3" fillId="0" borderId="7" xfId="0" applyFont="1" applyBorder="1" applyAlignment="1">
      <alignment horizontal="right"/>
    </xf>
    <xf numFmtId="0" fontId="9" fillId="0" borderId="0" xfId="0" applyFont="1"/>
    <xf numFmtId="14" fontId="9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top"/>
    </xf>
    <xf numFmtId="0" fontId="3" fillId="0" borderId="0" xfId="0" applyFont="1" applyBorder="1"/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4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517633</xdr:colOff>
      <xdr:row>4</xdr:row>
      <xdr:rowOff>175261</xdr:rowOff>
    </xdr:from>
    <xdr:ext cx="763423" cy="517263"/>
    <xdr:pic>
      <xdr:nvPicPr>
        <xdr:cNvPr id="3" name="Picture 2">
          <a:extLst>
            <a:ext uri="{FF2B5EF4-FFF2-40B4-BE49-F238E27FC236}">
              <a16:creationId xmlns:a16="http://schemas.microsoft.com/office/drawing/2014/main" id="{D6590477-83C1-3594-E749-F5BB6AB94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21" y="847614"/>
          <a:ext cx="763423" cy="517263"/>
        </a:xfrm>
        <a:prstGeom prst="rect">
          <a:avLst/>
        </a:prstGeom>
      </xdr:spPr>
    </xdr:pic>
    <xdr:clientData/>
  </xdr:oneCellAnchor>
  <xdr:oneCellAnchor>
    <xdr:from>
      <xdr:col>0</xdr:col>
      <xdr:colOff>250229</xdr:colOff>
      <xdr:row>4</xdr:row>
      <xdr:rowOff>53340</xdr:rowOff>
    </xdr:from>
    <xdr:ext cx="427951" cy="718918"/>
    <xdr:pic>
      <xdr:nvPicPr>
        <xdr:cNvPr id="5" name="Picture 4">
          <a:extLst>
            <a:ext uri="{FF2B5EF4-FFF2-40B4-BE49-F238E27FC236}">
              <a16:creationId xmlns:a16="http://schemas.microsoft.com/office/drawing/2014/main" id="{FE1089D5-08D5-3459-E0DD-ED93272D4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tx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229" y="731520"/>
          <a:ext cx="427951" cy="71981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396240</xdr:colOff>
          <xdr:row>4</xdr:row>
          <xdr:rowOff>198120</xdr:rowOff>
        </xdr:from>
        <xdr:to>
          <xdr:col>9</xdr:col>
          <xdr:colOff>419100</xdr:colOff>
          <xdr:row>6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396240</xdr:colOff>
          <xdr:row>7</xdr:row>
          <xdr:rowOff>160020</xdr:rowOff>
        </xdr:from>
        <xdr:to>
          <xdr:col>9</xdr:col>
          <xdr:colOff>419100</xdr:colOff>
          <xdr:row>9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411480</xdr:colOff>
          <xdr:row>11</xdr:row>
          <xdr:rowOff>60960</xdr:rowOff>
        </xdr:from>
        <xdr:to>
          <xdr:col>9</xdr:col>
          <xdr:colOff>434340</xdr:colOff>
          <xdr:row>13</xdr:row>
          <xdr:rowOff>106680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380056</xdr:colOff>
          <xdr:row>1</xdr:row>
          <xdr:rowOff>18746</xdr:rowOff>
        </xdr:from>
        <xdr:to>
          <xdr:col>9</xdr:col>
          <xdr:colOff>402916</xdr:colOff>
          <xdr:row>3</xdr:row>
          <xdr:rowOff>194275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01E0120-78FE-D76F-A33C-3DD60BE19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New Bill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89099F-81E9-4799-BAA6-E56B1B048025}" name="Table1" displayName="Table1" ref="A1:K15" totalsRowShown="0" headerRowDxfId="12" dataDxfId="11">
  <autoFilter ref="A1:K15" xr:uid="{2A89099F-81E9-4799-BAA6-E56B1B048025}"/>
  <tableColumns count="11">
    <tableColumn id="1" xr3:uid="{1C6DEA4F-C660-4062-BB40-046991732BBC}" name="Bill No" dataDxfId="10"/>
    <tableColumn id="11" xr3:uid="{2D016B0D-7F35-4AA7-BA00-12EFD6DDFEC0}" name="Name" dataDxfId="9"/>
    <tableColumn id="2" xr3:uid="{D278189A-0BE8-4FCF-8885-CF314D8BA939}" name="Date" dataDxfId="8"/>
    <tableColumn id="3" xr3:uid="{0B8BCB42-A5AF-49DF-8A38-D9E03FFFDA67}" name="Gold" dataDxfId="7"/>
    <tableColumn id="4" xr3:uid="{8E694B75-82B9-4014-A5B4-86628EF4FD50}" name="Silver" dataDxfId="6"/>
    <tableColumn id="5" xr3:uid="{B36C3435-8D3C-47CB-8196-62D096CCB9AD}" name="Gold Gram" dataDxfId="5"/>
    <tableColumn id="6" xr3:uid="{087E449B-01AC-4806-8F6C-E207BE0815C3}" name="Silver Gram" dataDxfId="4"/>
    <tableColumn id="7" xr3:uid="{66578BD7-9064-47AA-93F4-21B32312160B}" name="Total" dataDxfId="3"/>
    <tableColumn id="8" xr3:uid="{9A6B9C4E-C31E-4EB5-9F33-3CD300260387}" name="CST" dataDxfId="2"/>
    <tableColumn id="9" xr3:uid="{C391D9FD-1337-420A-A2B4-04673E3D3B48}" name="SGT" dataDxfId="1"/>
    <tableColumn id="10" xr3:uid="{BDC35EE5-5614-4652-A7A6-30BAC58F2655}" name="G.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6594-8CB5-4F7C-8A37-DF478ED80E62}">
  <sheetPr codeName="Sheet1"/>
  <dimension ref="A1:K36"/>
  <sheetViews>
    <sheetView showGridLines="0" tabSelected="1" zoomScale="113" zoomScaleNormal="100" workbookViewId="0">
      <selection activeCell="B9" sqref="B9:G9"/>
    </sheetView>
  </sheetViews>
  <sheetFormatPr defaultRowHeight="14.4" x14ac:dyDescent="0.3"/>
  <cols>
    <col min="2" max="2" width="10.5546875" bestFit="1" customWidth="1"/>
    <col min="3" max="3" width="10.77734375" customWidth="1"/>
    <col min="5" max="5" width="8" customWidth="1"/>
    <col min="6" max="6" width="8.109375" customWidth="1"/>
    <col min="7" max="7" width="12.21875" customWidth="1"/>
    <col min="11" max="11" width="11.44140625" customWidth="1"/>
    <col min="12" max="12" width="14.44140625" customWidth="1"/>
    <col min="13" max="13" width="19.109375" customWidth="1"/>
    <col min="14" max="15" width="11.5546875" customWidth="1"/>
  </cols>
  <sheetData>
    <row r="1" spans="1:11" x14ac:dyDescent="0.3">
      <c r="A1" s="2"/>
      <c r="B1" s="3"/>
      <c r="C1" s="3"/>
      <c r="D1" s="3"/>
      <c r="E1" s="3"/>
      <c r="F1" s="3"/>
      <c r="G1" s="4"/>
    </row>
    <row r="2" spans="1:11" x14ac:dyDescent="0.3">
      <c r="A2" s="1" t="s">
        <v>0</v>
      </c>
      <c r="B2" s="70" t="s">
        <v>21</v>
      </c>
      <c r="C2" s="70"/>
      <c r="D2" s="71" t="s">
        <v>1</v>
      </c>
      <c r="E2" s="70" t="s">
        <v>11</v>
      </c>
      <c r="F2" s="70"/>
      <c r="G2" s="43"/>
    </row>
    <row r="3" spans="1:11" ht="6" customHeight="1" x14ac:dyDescent="0.3">
      <c r="A3" s="5"/>
      <c r="B3" s="72"/>
      <c r="C3" s="72"/>
      <c r="D3" s="73"/>
      <c r="E3" s="72"/>
      <c r="F3" s="72"/>
      <c r="G3" s="9"/>
    </row>
    <row r="4" spans="1:11" ht="18.600000000000001" customHeight="1" x14ac:dyDescent="0.3">
      <c r="A4" s="44" t="s">
        <v>13</v>
      </c>
      <c r="B4" s="74"/>
      <c r="C4" s="74"/>
      <c r="D4" s="74"/>
      <c r="E4" s="74"/>
      <c r="F4" s="74"/>
      <c r="G4" s="45"/>
    </row>
    <row r="5" spans="1:11" ht="24" customHeight="1" x14ac:dyDescent="0.3">
      <c r="A5" s="81" t="s">
        <v>12</v>
      </c>
      <c r="B5" s="69"/>
      <c r="C5" s="69"/>
      <c r="D5" s="69"/>
      <c r="E5" s="69"/>
      <c r="F5" s="69"/>
      <c r="G5" s="46"/>
    </row>
    <row r="6" spans="1:11" ht="15.6" x14ac:dyDescent="0.3">
      <c r="A6" s="6"/>
      <c r="B6" s="75" t="s">
        <v>18</v>
      </c>
      <c r="C6" s="75"/>
      <c r="D6" s="75"/>
      <c r="E6" s="75"/>
      <c r="F6" s="75"/>
      <c r="G6" s="7"/>
      <c r="K6" s="8"/>
    </row>
    <row r="7" spans="1:11" ht="22.8" customHeight="1" x14ac:dyDescent="0.3">
      <c r="A7" s="6"/>
      <c r="B7" s="76"/>
      <c r="C7" s="77" t="s">
        <v>3</v>
      </c>
      <c r="D7" s="78"/>
      <c r="E7" s="78"/>
      <c r="F7" s="76"/>
      <c r="G7" s="7"/>
    </row>
    <row r="8" spans="1:11" ht="18" x14ac:dyDescent="0.35">
      <c r="A8" s="5" t="s">
        <v>4</v>
      </c>
      <c r="B8" s="79">
        <v>11</v>
      </c>
      <c r="C8" s="76"/>
      <c r="D8" s="76"/>
      <c r="E8" s="73" t="s">
        <v>2</v>
      </c>
      <c r="F8" s="80">
        <f ca="1">TODAY()</f>
        <v>45668</v>
      </c>
      <c r="G8" s="47"/>
    </row>
    <row r="9" spans="1:11" ht="16.2" thickBot="1" x14ac:dyDescent="0.35">
      <c r="A9" s="33" t="s">
        <v>5</v>
      </c>
      <c r="B9" s="48"/>
      <c r="C9" s="48"/>
      <c r="D9" s="48"/>
      <c r="E9" s="48"/>
      <c r="F9" s="48"/>
      <c r="G9" s="49"/>
    </row>
    <row r="10" spans="1:11" ht="16.2" thickBot="1" x14ac:dyDescent="0.35">
      <c r="A10" s="18" t="s">
        <v>9</v>
      </c>
      <c r="B10" s="50" t="s">
        <v>8</v>
      </c>
      <c r="C10" s="51"/>
      <c r="D10" s="52"/>
      <c r="E10" s="19" t="s">
        <v>28</v>
      </c>
      <c r="F10" s="17" t="s">
        <v>6</v>
      </c>
      <c r="G10" s="18" t="s">
        <v>7</v>
      </c>
    </row>
    <row r="11" spans="1:11" ht="16.2" thickBot="1" x14ac:dyDescent="0.35">
      <c r="A11" s="53" t="s">
        <v>24</v>
      </c>
      <c r="B11" s="54"/>
      <c r="C11" s="54"/>
      <c r="D11" s="54"/>
      <c r="E11" s="26"/>
      <c r="F11" s="27"/>
      <c r="G11" s="17"/>
    </row>
    <row r="12" spans="1:11" ht="15.6" x14ac:dyDescent="0.3">
      <c r="A12" s="10">
        <v>1</v>
      </c>
      <c r="B12" s="55"/>
      <c r="C12" s="56"/>
      <c r="D12" s="57"/>
      <c r="E12" s="21"/>
      <c r="F12" s="23"/>
      <c r="G12" s="29"/>
    </row>
    <row r="13" spans="1:11" ht="15.6" x14ac:dyDescent="0.3">
      <c r="A13" s="10">
        <v>2</v>
      </c>
      <c r="B13" s="38"/>
      <c r="C13" s="37"/>
      <c r="D13" s="39"/>
      <c r="E13" s="22"/>
      <c r="F13" s="24"/>
      <c r="G13" s="12"/>
    </row>
    <row r="14" spans="1:11" ht="15.6" x14ac:dyDescent="0.3">
      <c r="A14" s="10">
        <v>3</v>
      </c>
      <c r="B14" s="38"/>
      <c r="C14" s="37"/>
      <c r="D14" s="39"/>
      <c r="E14" s="22"/>
      <c r="F14" s="24"/>
      <c r="G14" s="12"/>
    </row>
    <row r="15" spans="1:11" ht="15.6" x14ac:dyDescent="0.3">
      <c r="A15" s="10"/>
      <c r="B15" s="38"/>
      <c r="C15" s="37"/>
      <c r="D15" s="39"/>
      <c r="E15" s="22"/>
      <c r="F15" s="24"/>
      <c r="G15" s="12"/>
    </row>
    <row r="16" spans="1:11" ht="16.2" thickBot="1" x14ac:dyDescent="0.35">
      <c r="A16" s="10"/>
      <c r="B16" s="40"/>
      <c r="C16" s="41"/>
      <c r="D16" s="42"/>
      <c r="E16" s="25"/>
      <c r="F16" s="28"/>
      <c r="G16" s="14"/>
    </row>
    <row r="17" spans="1:7" ht="16.2" thickBot="1" x14ac:dyDescent="0.35">
      <c r="A17" s="10"/>
      <c r="B17" s="62" t="s">
        <v>14</v>
      </c>
      <c r="C17" s="63"/>
      <c r="D17" s="63"/>
      <c r="E17" s="40">
        <f>SUM(E12:E16) + SUM(F12:F16)/1000</f>
        <v>0</v>
      </c>
      <c r="F17" s="42"/>
      <c r="G17" s="16">
        <f>SUM(G12:G16)</f>
        <v>0</v>
      </c>
    </row>
    <row r="18" spans="1:7" ht="16.2" thickBot="1" x14ac:dyDescent="0.35">
      <c r="A18" s="53" t="s">
        <v>25</v>
      </c>
      <c r="B18" s="54"/>
      <c r="C18" s="54"/>
      <c r="D18" s="54"/>
      <c r="E18" s="38"/>
      <c r="F18" s="39"/>
      <c r="G18" s="7"/>
    </row>
    <row r="19" spans="1:7" ht="15.6" x14ac:dyDescent="0.3">
      <c r="A19" s="10"/>
      <c r="B19" s="55"/>
      <c r="C19" s="56"/>
      <c r="D19" s="57"/>
      <c r="E19" s="30"/>
      <c r="F19" s="31"/>
      <c r="G19" s="11"/>
    </row>
    <row r="20" spans="1:7" ht="15.6" x14ac:dyDescent="0.3">
      <c r="A20" s="10"/>
      <c r="B20" s="38"/>
      <c r="C20" s="37"/>
      <c r="D20" s="39"/>
      <c r="E20" s="22"/>
      <c r="F20" s="24"/>
      <c r="G20" s="12"/>
    </row>
    <row r="21" spans="1:7" ht="15.6" x14ac:dyDescent="0.3">
      <c r="A21" s="10"/>
      <c r="B21" s="38"/>
      <c r="C21" s="37"/>
      <c r="D21" s="39"/>
      <c r="E21" s="22"/>
      <c r="F21" s="24"/>
      <c r="G21" s="12"/>
    </row>
    <row r="22" spans="1:7" ht="15.6" x14ac:dyDescent="0.3">
      <c r="A22" s="10"/>
      <c r="B22" s="38"/>
      <c r="C22" s="37"/>
      <c r="D22" s="39"/>
      <c r="E22" s="22"/>
      <c r="F22" s="24"/>
      <c r="G22" s="12"/>
    </row>
    <row r="23" spans="1:7" ht="16.2" thickBot="1" x14ac:dyDescent="0.35">
      <c r="A23" s="10"/>
      <c r="B23" s="40"/>
      <c r="C23" s="41"/>
      <c r="D23" s="42"/>
      <c r="E23" s="25"/>
      <c r="F23" s="28"/>
      <c r="G23" s="14"/>
    </row>
    <row r="24" spans="1:7" ht="16.2" thickBot="1" x14ac:dyDescent="0.35">
      <c r="A24" s="17"/>
      <c r="B24" s="62" t="s">
        <v>14</v>
      </c>
      <c r="C24" s="63"/>
      <c r="D24" s="64"/>
      <c r="E24" s="40">
        <f>SUM(E19:E23) + SUM(F19:F23)/1000</f>
        <v>0</v>
      </c>
      <c r="F24" s="42"/>
      <c r="G24" s="16">
        <f>SUM(G19:G23)</f>
        <v>0</v>
      </c>
    </row>
    <row r="25" spans="1:7" ht="15.6" x14ac:dyDescent="0.3">
      <c r="A25" s="6"/>
      <c r="B25" s="37"/>
      <c r="C25" s="37"/>
      <c r="D25" s="37"/>
      <c r="E25" s="65" t="s">
        <v>15</v>
      </c>
      <c r="F25" s="66"/>
      <c r="G25" s="11">
        <f>G17+G24</f>
        <v>0</v>
      </c>
    </row>
    <row r="26" spans="1:7" ht="15.6" x14ac:dyDescent="0.3">
      <c r="A26" s="6"/>
      <c r="B26" s="36"/>
      <c r="C26" s="36"/>
      <c r="D26" s="36"/>
      <c r="E26" s="65" t="s">
        <v>10</v>
      </c>
      <c r="F26" s="66"/>
      <c r="G26" s="12">
        <f>G25*0.015</f>
        <v>0</v>
      </c>
    </row>
    <row r="27" spans="1:7" ht="15.6" x14ac:dyDescent="0.3">
      <c r="A27" s="6"/>
      <c r="B27" s="36"/>
      <c r="C27" s="36"/>
      <c r="D27" s="36"/>
      <c r="E27" s="65" t="s">
        <v>16</v>
      </c>
      <c r="F27" s="66"/>
      <c r="G27" s="12">
        <f>G25*0.015</f>
        <v>0</v>
      </c>
    </row>
    <row r="28" spans="1:7" ht="16.2" thickBot="1" x14ac:dyDescent="0.35">
      <c r="A28" s="58" t="s">
        <v>19</v>
      </c>
      <c r="B28" s="48"/>
      <c r="C28" s="13"/>
      <c r="D28" s="13"/>
      <c r="E28" s="67" t="s">
        <v>17</v>
      </c>
      <c r="F28" s="68"/>
      <c r="G28" s="14">
        <f>SUM(G25:G27)</f>
        <v>0</v>
      </c>
    </row>
    <row r="29" spans="1:7" x14ac:dyDescent="0.3">
      <c r="A29" s="59" t="s">
        <v>20</v>
      </c>
      <c r="B29" s="60"/>
      <c r="C29" s="60"/>
      <c r="D29" s="60"/>
      <c r="E29" s="60"/>
      <c r="F29" s="60"/>
      <c r="G29" s="61"/>
    </row>
    <row r="30" spans="1:7" ht="16.2" thickBot="1" x14ac:dyDescent="0.35">
      <c r="A30" s="15"/>
      <c r="B30" s="13"/>
      <c r="C30" s="13"/>
      <c r="D30" s="13"/>
      <c r="E30" s="13"/>
      <c r="F30" s="13"/>
      <c r="G30" s="16"/>
    </row>
    <row r="35" spans="1:11" x14ac:dyDescent="0.3">
      <c r="A35" t="s">
        <v>22</v>
      </c>
      <c r="B35" t="s">
        <v>32</v>
      </c>
      <c r="C35" t="s">
        <v>23</v>
      </c>
      <c r="D35" t="s">
        <v>24</v>
      </c>
      <c r="E35" t="s">
        <v>25</v>
      </c>
      <c r="F35" t="s">
        <v>29</v>
      </c>
      <c r="G35" t="s">
        <v>30</v>
      </c>
      <c r="H35" t="s">
        <v>14</v>
      </c>
      <c r="I35" t="s">
        <v>26</v>
      </c>
      <c r="J35" t="s">
        <v>27</v>
      </c>
      <c r="K35" t="s">
        <v>31</v>
      </c>
    </row>
    <row r="36" spans="1:11" x14ac:dyDescent="0.3">
      <c r="A36">
        <f>B8</f>
        <v>11</v>
      </c>
      <c r="B36">
        <f>B9</f>
        <v>0</v>
      </c>
      <c r="C36" s="20">
        <f ca="1">F8</f>
        <v>45668</v>
      </c>
      <c r="D36" t="str">
        <f>IF(A11="gold", _xlfn.TEXTJOIN(",", TRUE, B12:B16), "") &amp; IF(AND(A11="gold", A18="gold"), ",", "") &amp; IF(A18="gold", _xlfn.TEXTJOIN(",", TRUE, B19:B23), "")</f>
        <v/>
      </c>
      <c r="E36" t="str">
        <f>IF(A11="Silver", _xlfn.TEXTJOIN(",", TRUE, B12:B16), "") &amp; IF(AND(A11="silver", A18="silver"), ",", "") &amp; IF(A18="silver", _xlfn.TEXTJOIN(",", TRUE, B19:B23), "")</f>
        <v/>
      </c>
      <c r="F36">
        <f>IF(A11="gold", E17, 0) + IF(A18="gold", E24, 0)</f>
        <v>0</v>
      </c>
      <c r="G36">
        <f>IF(A11="silver", E17, 0) + IF(A18="silver", E24, 0)</f>
        <v>0</v>
      </c>
      <c r="H36">
        <f>G25</f>
        <v>0</v>
      </c>
      <c r="I36">
        <f>G26</f>
        <v>0</v>
      </c>
      <c r="J36">
        <f>G27</f>
        <v>0</v>
      </c>
      <c r="K36">
        <f>G28</f>
        <v>0</v>
      </c>
    </row>
  </sheetData>
  <mergeCells count="33">
    <mergeCell ref="A28:B28"/>
    <mergeCell ref="E24:F24"/>
    <mergeCell ref="A29:G29"/>
    <mergeCell ref="B15:D15"/>
    <mergeCell ref="B17:D17"/>
    <mergeCell ref="A18:D18"/>
    <mergeCell ref="B24:D24"/>
    <mergeCell ref="B25:D25"/>
    <mergeCell ref="E25:F25"/>
    <mergeCell ref="E26:F26"/>
    <mergeCell ref="E27:F27"/>
    <mergeCell ref="E28:F28"/>
    <mergeCell ref="B19:D19"/>
    <mergeCell ref="B20:D20"/>
    <mergeCell ref="B21:D21"/>
    <mergeCell ref="B22:D22"/>
    <mergeCell ref="B23:D23"/>
    <mergeCell ref="F8:G8"/>
    <mergeCell ref="B9:G9"/>
    <mergeCell ref="B10:D10"/>
    <mergeCell ref="B13:D13"/>
    <mergeCell ref="B14:D14"/>
    <mergeCell ref="A11:D11"/>
    <mergeCell ref="B12:D12"/>
    <mergeCell ref="C7:E7"/>
    <mergeCell ref="E18:F18"/>
    <mergeCell ref="B16:D16"/>
    <mergeCell ref="E17:F17"/>
    <mergeCell ref="B2:C2"/>
    <mergeCell ref="E2:G2"/>
    <mergeCell ref="A4:G4"/>
    <mergeCell ref="A5:G5"/>
    <mergeCell ref="B6:F6"/>
  </mergeCells>
  <phoneticPr fontId="8" type="noConversion"/>
  <dataValidations count="2">
    <dataValidation type="list" showInputMessage="1" showErrorMessage="1" sqref="A11:D11" xr:uid="{65D9B924-143F-42BC-83D4-5C2ABD91611B}">
      <formula1>"  , Gold, Silver"</formula1>
    </dataValidation>
    <dataValidation type="list" allowBlank="1" showInputMessage="1" showErrorMessage="1" sqref="A18:D18" xr:uid="{12D5DD3B-DFD9-433B-AED1-F3F2F1089599}">
      <formula1>"Gold, Silver"</formula1>
    </dataValidation>
  </dataValidations>
  <pageMargins left="0.25" right="0.25" top="0.25" bottom="0.25" header="0.3" footer="0.3"/>
  <pageSetup paperSize="1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InvoiceToBillBook">
                <anchor moveWithCells="1">
                  <from>
                    <xdr:col>7</xdr:col>
                    <xdr:colOff>396240</xdr:colOff>
                    <xdr:row>4</xdr:row>
                    <xdr:rowOff>198120</xdr:rowOff>
                  </from>
                  <to>
                    <xdr:col>9</xdr:col>
                    <xdr:colOff>419100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PrintInvoice">
                <anchor moveWithCells="1">
                  <from>
                    <xdr:col>7</xdr:col>
                    <xdr:colOff>396240</xdr:colOff>
                    <xdr:row>7</xdr:row>
                    <xdr:rowOff>160020</xdr:rowOff>
                  </from>
                  <to>
                    <xdr:col>9</xdr:col>
                    <xdr:colOff>419100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aveInvoiceAsPDF">
                <anchor moveWithCells="1">
                  <from>
                    <xdr:col>7</xdr:col>
                    <xdr:colOff>411480</xdr:colOff>
                    <xdr:row>11</xdr:row>
                    <xdr:rowOff>60960</xdr:rowOff>
                  </from>
                  <to>
                    <xdr:col>9</xdr:col>
                    <xdr:colOff>434340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earAndIncrementInvoice">
                <anchor moveWithCells="1">
                  <from>
                    <xdr:col>7</xdr:col>
                    <xdr:colOff>381000</xdr:colOff>
                    <xdr:row>1</xdr:row>
                    <xdr:rowOff>15240</xdr:rowOff>
                  </from>
                  <to>
                    <xdr:col>9</xdr:col>
                    <xdr:colOff>403860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C801-6ADD-42BB-94ED-E75A5CD0B615}">
  <sheetPr codeName="Sheet2"/>
  <dimension ref="A1:K15"/>
  <sheetViews>
    <sheetView workbookViewId="0">
      <selection activeCell="A2" sqref="A2:K8"/>
    </sheetView>
  </sheetViews>
  <sheetFormatPr defaultRowHeight="14.4" x14ac:dyDescent="0.3"/>
  <cols>
    <col min="1" max="2" width="20.6640625" customWidth="1"/>
    <col min="3" max="3" width="22.6640625" customWidth="1"/>
    <col min="4" max="5" width="20.77734375" customWidth="1"/>
    <col min="6" max="6" width="11.77734375" customWidth="1"/>
    <col min="7" max="7" width="13.77734375" customWidth="1"/>
    <col min="8" max="8" width="11.6640625" customWidth="1"/>
    <col min="9" max="9" width="14.21875" customWidth="1"/>
    <col min="10" max="10" width="12.77734375" customWidth="1"/>
    <col min="11" max="11" width="13.6640625" customWidth="1"/>
  </cols>
  <sheetData>
    <row r="1" spans="1:11" x14ac:dyDescent="0.3">
      <c r="A1" s="32" t="s">
        <v>22</v>
      </c>
      <c r="B1" s="32" t="s">
        <v>32</v>
      </c>
      <c r="C1" s="32" t="s">
        <v>23</v>
      </c>
      <c r="D1" s="32" t="s">
        <v>24</v>
      </c>
      <c r="E1" s="32" t="s">
        <v>25</v>
      </c>
      <c r="F1" s="32" t="s">
        <v>29</v>
      </c>
      <c r="G1" s="32" t="s">
        <v>30</v>
      </c>
      <c r="H1" s="32" t="s">
        <v>14</v>
      </c>
      <c r="I1" s="32" t="s">
        <v>26</v>
      </c>
      <c r="J1" s="32" t="s">
        <v>27</v>
      </c>
      <c r="K1" s="32" t="s">
        <v>31</v>
      </c>
    </row>
    <row r="2" spans="1:11" x14ac:dyDescent="0.3">
      <c r="A2" s="34">
        <v>1</v>
      </c>
      <c r="B2" s="34">
        <v>0</v>
      </c>
      <c r="C2" s="35">
        <v>45668</v>
      </c>
      <c r="D2" s="34"/>
      <c r="E2" s="34"/>
      <c r="F2" s="34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</row>
    <row r="3" spans="1:11" x14ac:dyDescent="0.3">
      <c r="A3" s="34">
        <v>2</v>
      </c>
      <c r="B3" s="34">
        <v>0</v>
      </c>
      <c r="C3" s="35">
        <v>45668</v>
      </c>
      <c r="D3" s="34"/>
      <c r="E3" s="34"/>
      <c r="F3" s="34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</row>
    <row r="4" spans="1:11" x14ac:dyDescent="0.3">
      <c r="A4" s="34">
        <v>3</v>
      </c>
      <c r="B4" s="34">
        <v>0</v>
      </c>
      <c r="C4" s="35">
        <v>45668</v>
      </c>
      <c r="D4" s="34" t="s">
        <v>33</v>
      </c>
      <c r="E4" s="34"/>
      <c r="F4" s="34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</row>
    <row r="5" spans="1:11" x14ac:dyDescent="0.3">
      <c r="A5" s="34">
        <v>4</v>
      </c>
      <c r="B5" s="34">
        <v>0</v>
      </c>
      <c r="C5" s="35">
        <v>45668</v>
      </c>
      <c r="D5" s="34" t="s">
        <v>33</v>
      </c>
      <c r="E5" s="34"/>
      <c r="F5" s="34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</row>
    <row r="6" spans="1:11" x14ac:dyDescent="0.3">
      <c r="A6" s="34">
        <v>5</v>
      </c>
      <c r="B6" s="34">
        <v>0</v>
      </c>
      <c r="C6" s="35">
        <v>45668</v>
      </c>
      <c r="D6" s="34" t="s">
        <v>34</v>
      </c>
      <c r="E6" s="34"/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</row>
    <row r="7" spans="1:11" x14ac:dyDescent="0.3">
      <c r="A7" s="34">
        <v>6</v>
      </c>
      <c r="B7" s="34">
        <v>0</v>
      </c>
      <c r="C7" s="35">
        <v>45668</v>
      </c>
      <c r="D7" s="34" t="s">
        <v>34</v>
      </c>
      <c r="E7" s="34"/>
      <c r="F7" s="34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</row>
    <row r="8" spans="1:11" x14ac:dyDescent="0.3">
      <c r="A8" s="34">
        <v>7</v>
      </c>
      <c r="B8" s="34">
        <v>0</v>
      </c>
      <c r="C8" s="35">
        <v>45668</v>
      </c>
      <c r="D8" s="34" t="s">
        <v>34</v>
      </c>
      <c r="E8" s="34"/>
      <c r="F8" s="34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</row>
    <row r="9" spans="1:11" x14ac:dyDescent="0.3">
      <c r="A9" s="34">
        <v>7</v>
      </c>
      <c r="B9" s="34">
        <v>0</v>
      </c>
      <c r="C9" s="35">
        <v>45668</v>
      </c>
      <c r="D9" s="34" t="s">
        <v>34</v>
      </c>
      <c r="E9" s="34"/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</row>
    <row r="10" spans="1:11" x14ac:dyDescent="0.3">
      <c r="A10" s="34">
        <v>7</v>
      </c>
      <c r="B10" s="34">
        <v>0</v>
      </c>
      <c r="C10" s="35">
        <v>45668</v>
      </c>
      <c r="D10" s="34" t="s">
        <v>34</v>
      </c>
      <c r="E10" s="34"/>
      <c r="F10" s="34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</row>
    <row r="11" spans="1:11" x14ac:dyDescent="0.3">
      <c r="A11" s="34">
        <v>7</v>
      </c>
      <c r="B11" s="34">
        <v>0</v>
      </c>
      <c r="C11" s="35">
        <v>45668</v>
      </c>
      <c r="D11" s="34" t="s">
        <v>34</v>
      </c>
      <c r="E11" s="34"/>
      <c r="F11" s="34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</row>
    <row r="12" spans="1:11" x14ac:dyDescent="0.3">
      <c r="A12" s="34">
        <v>8</v>
      </c>
      <c r="B12" s="34">
        <v>0</v>
      </c>
      <c r="C12" s="35">
        <v>45668</v>
      </c>
      <c r="D12" s="34"/>
      <c r="E12" s="34"/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</row>
    <row r="13" spans="1:11" x14ac:dyDescent="0.3">
      <c r="A13" s="34">
        <v>8</v>
      </c>
      <c r="B13" s="34">
        <v>0</v>
      </c>
      <c r="C13" s="35">
        <v>45668</v>
      </c>
      <c r="D13" s="34"/>
      <c r="E13" s="34"/>
      <c r="F13" s="34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</row>
    <row r="14" spans="1:11" x14ac:dyDescent="0.3">
      <c r="A14" s="34">
        <v>8</v>
      </c>
      <c r="B14" s="34">
        <v>0</v>
      </c>
      <c r="C14" s="35">
        <v>45668</v>
      </c>
      <c r="D14" s="34"/>
      <c r="E14" s="34"/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</row>
    <row r="15" spans="1:11" x14ac:dyDescent="0.3">
      <c r="A15" s="34">
        <v>10</v>
      </c>
      <c r="B15" s="34">
        <v>0</v>
      </c>
      <c r="C15" s="35">
        <v>45668</v>
      </c>
      <c r="D15" s="34" t="s">
        <v>35</v>
      </c>
      <c r="E15" s="34"/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EF4A1-2707-4A1C-8444-54F6099EAD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Bill_Book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Hardik Jain</dc:creator>
  <cp:lastModifiedBy>Hardik Jain</cp:lastModifiedBy>
  <cp:lastPrinted>2025-01-11T17:31:13Z</cp:lastPrinted>
  <dcterms:created xsi:type="dcterms:W3CDTF">2025-01-10T11:11:10Z</dcterms:created>
  <dcterms:modified xsi:type="dcterms:W3CDTF">2025-01-11T17:33:08Z</dcterms:modified>
</cp:coreProperties>
</file>